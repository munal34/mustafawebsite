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fa\Desktop\Cabling Case Studies\"/>
    </mc:Choice>
  </mc:AlternateContent>
  <xr:revisionPtr revIDLastSave="0" documentId="13_ncr:1_{7BDAC987-5F47-4B4B-AB85-30FEC36E9B63}" xr6:coauthVersionLast="47" xr6:coauthVersionMax="47" xr10:uidLastSave="{00000000-0000-0000-0000-000000000000}"/>
  <bookViews>
    <workbookView xWindow="-120" yWindow="-120" windowWidth="29040" windowHeight="15720" xr2:uid="{B0E48AB7-92EF-4EE5-AD98-4759C44901C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" i="1" l="1"/>
  <c r="Y25" i="1" s="1"/>
  <c r="J72" i="1"/>
  <c r="X24" i="1"/>
  <c r="Y24" i="1" s="1"/>
  <c r="J47" i="1"/>
  <c r="P25" i="1" s="1"/>
  <c r="P24" i="1" l="1"/>
</calcChain>
</file>

<file path=xl/sharedStrings.xml><?xml version="1.0" encoding="utf-8"?>
<sst xmlns="http://schemas.openxmlformats.org/spreadsheetml/2006/main" count="387" uniqueCount="39">
  <si>
    <t>TX-001-INV001-DCB06-STR001</t>
  </si>
  <si>
    <t>TX-001</t>
  </si>
  <si>
    <t>TX-001-INV001</t>
  </si>
  <si>
    <t>TX-001-INV001-DCB06</t>
  </si>
  <si>
    <t>Cyan</t>
  </si>
  <si>
    <t>TX-001-INV001-DCB06-STR002</t>
  </si>
  <si>
    <t>TX-001-INV001-DCB06-STR003</t>
  </si>
  <si>
    <t>TX-001-INV001-DCB06-STR004</t>
  </si>
  <si>
    <t>TX-001-INV001-DCB06-STR005</t>
  </si>
  <si>
    <t>TX-001-INV001-DCB06-STR006</t>
  </si>
  <si>
    <t>TX-001-INV001-DCB06-STR007</t>
  </si>
  <si>
    <t>TX-001-INV001-DCB06-STR008</t>
  </si>
  <si>
    <t>TX-001-INV001-DCB06-STR009</t>
  </si>
  <si>
    <t>TX-001-INV001-DCB06-STR010</t>
  </si>
  <si>
    <t>TX-001-INV001-DCB06-STR011</t>
  </si>
  <si>
    <t>TX-001-INV001-DCB06-STR012</t>
  </si>
  <si>
    <t>TX-001-INV001-DCB06-STR013</t>
  </si>
  <si>
    <t>TX-001-INV001-DCB06-STR014</t>
  </si>
  <si>
    <t>TX-001-INV001-DCB06-STR015</t>
  </si>
  <si>
    <t>TX-001-INV001-DCB06-STR016</t>
  </si>
  <si>
    <t>TX-001-INV001-DCB06-STR017</t>
  </si>
  <si>
    <t>TX-001-INV001-DCB06-STR018</t>
  </si>
  <si>
    <t>TX-001-INV001-DCB06-STR019</t>
  </si>
  <si>
    <t>TX-001-INV001-DCB06-STR020</t>
  </si>
  <si>
    <t>TX-001-INV001-DCB06-STR021</t>
  </si>
  <si>
    <t>TX-001-INV001-DCB06-STR022</t>
  </si>
  <si>
    <t>TX-001-INV001-DCB06-STR023</t>
  </si>
  <si>
    <t>TX-001-INV001-DCB06-STR024</t>
  </si>
  <si>
    <t>LEAPFROG</t>
  </si>
  <si>
    <t>U String</t>
  </si>
  <si>
    <t>LINE String</t>
  </si>
  <si>
    <t>String Name</t>
  </si>
  <si>
    <t>Transformer</t>
  </si>
  <si>
    <t>Inverter</t>
  </si>
  <si>
    <t>DC Combiner</t>
  </si>
  <si>
    <t>+ Cable (m)</t>
  </si>
  <si>
    <t>- Cable (m)</t>
  </si>
  <si>
    <t>Color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</si>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</sst>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b/>
      <sz val="36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1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94742-8B3D-4E54-9E21-06D7F3301301}">
  <dimension ref="A1:AB72"/>
  <sheetViews>
    <sheetView tabSelected="1" zoomScale="115" zoomScaleNormal="115" workbookViewId="0">
      <selection activeCell="E24" sqref="E24"/>
    </sheetView>
  </sheetViews>
  <sheetFormatPr defaultRowHeight="15" x14ac:dyDescent="0.25"/>
  <cols>
    <col min="1" max="1" width="28.28515625" bestFit="1" customWidth="1"/>
    <col min="2" max="2" width="12" bestFit="1" customWidth="1"/>
    <col min="3" max="3" width="14" bestFit="1" customWidth="1"/>
    <col min="4" max="4" width="21" bestFit="1" customWidth="1"/>
    <col min="5" max="5" width="11" bestFit="1" customWidth="1"/>
    <col min="6" max="6" width="10.7109375" bestFit="1" customWidth="1"/>
    <col min="7" max="7" width="5.7109375" bestFit="1" customWidth="1"/>
    <col min="9" max="9" width="7.5703125" customWidth="1"/>
    <col min="10" max="10" width="6.7109375" bestFit="1" customWidth="1"/>
    <col min="11" max="11" width="28.28515625" bestFit="1" customWidth="1"/>
    <col min="12" max="12" width="12" bestFit="1" customWidth="1"/>
    <col min="13" max="13" width="14" bestFit="1" customWidth="1"/>
    <col min="14" max="14" width="21" bestFit="1" customWidth="1"/>
    <col min="15" max="15" width="11" bestFit="1" customWidth="1"/>
    <col min="16" max="16" width="10.7109375" bestFit="1" customWidth="1"/>
    <col min="17" max="17" width="5.7109375" bestFit="1" customWidth="1"/>
    <col min="20" max="20" width="28.28515625" bestFit="1" customWidth="1"/>
    <col min="21" max="21" width="12" bestFit="1" customWidth="1"/>
    <col min="22" max="22" width="14" bestFit="1" customWidth="1"/>
    <col min="23" max="23" width="21" bestFit="1" customWidth="1"/>
    <col min="24" max="24" width="11" bestFit="1" customWidth="1"/>
    <col min="25" max="25" width="10.7109375" bestFit="1" customWidth="1"/>
    <col min="26" max="27" width="5.7109375" bestFit="1" customWidth="1"/>
  </cols>
  <sheetData>
    <row r="1" spans="1:28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5" t="s">
        <v>38</v>
      </c>
      <c r="I1" s="5"/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5" t="s">
        <v>38</v>
      </c>
      <c r="S1" s="5"/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3" t="s">
        <v>36</v>
      </c>
      <c r="Z1" s="3" t="s">
        <v>37</v>
      </c>
      <c r="AA1" s="5" t="s">
        <v>38</v>
      </c>
      <c r="AB1" s="5"/>
    </row>
    <row r="2" spans="1:28" x14ac:dyDescent="0.25">
      <c r="A2" s="1" t="s">
        <v>0</v>
      </c>
      <c r="B2" s="1" t="s">
        <v>1</v>
      </c>
      <c r="C2" s="1" t="s">
        <v>2</v>
      </c>
      <c r="D2" s="1" t="s">
        <v>3</v>
      </c>
      <c r="E2" s="1">
        <v>34.729999999999997</v>
      </c>
      <c r="F2" s="1">
        <v>5.59</v>
      </c>
      <c r="G2" s="2" t="s">
        <v>4</v>
      </c>
      <c r="H2" s="4" t="s">
        <v>28</v>
      </c>
      <c r="I2" s="4"/>
      <c r="K2" s="1" t="s">
        <v>0</v>
      </c>
      <c r="L2" s="1" t="s">
        <v>1</v>
      </c>
      <c r="M2" s="1" t="s">
        <v>2</v>
      </c>
      <c r="N2" s="1" t="s">
        <v>3</v>
      </c>
      <c r="O2" s="1">
        <v>43.55</v>
      </c>
      <c r="P2" s="1">
        <v>13.26</v>
      </c>
      <c r="Q2" s="2" t="s">
        <v>4</v>
      </c>
      <c r="R2" s="4" t="s">
        <v>30</v>
      </c>
      <c r="S2" s="4"/>
      <c r="T2" s="1" t="s">
        <v>0</v>
      </c>
      <c r="U2" s="1" t="s">
        <v>1</v>
      </c>
      <c r="V2" s="1" t="s">
        <v>2</v>
      </c>
      <c r="W2" s="1" t="s">
        <v>3</v>
      </c>
      <c r="X2" s="1">
        <v>17.53</v>
      </c>
      <c r="Y2" s="1">
        <v>2.2599999999999998</v>
      </c>
      <c r="Z2" s="2" t="s">
        <v>4</v>
      </c>
      <c r="AA2" s="4" t="s">
        <v>29</v>
      </c>
      <c r="AB2" s="4"/>
    </row>
    <row r="3" spans="1:28" x14ac:dyDescent="0.25">
      <c r="A3" s="1" t="s">
        <v>5</v>
      </c>
      <c r="B3" s="1" t="s">
        <v>1</v>
      </c>
      <c r="C3" s="1" t="s">
        <v>2</v>
      </c>
      <c r="D3" s="1" t="s">
        <v>3</v>
      </c>
      <c r="E3" s="1">
        <v>32.549999999999997</v>
      </c>
      <c r="F3" s="1">
        <v>3.41</v>
      </c>
      <c r="G3" s="2" t="s">
        <v>4</v>
      </c>
      <c r="H3" s="4"/>
      <c r="I3" s="4"/>
      <c r="K3" s="1" t="s">
        <v>5</v>
      </c>
      <c r="L3" s="1" t="s">
        <v>1</v>
      </c>
      <c r="M3" s="1" t="s">
        <v>2</v>
      </c>
      <c r="N3" s="1" t="s">
        <v>3</v>
      </c>
      <c r="O3" s="1">
        <v>41.37</v>
      </c>
      <c r="P3" s="1">
        <v>11.09</v>
      </c>
      <c r="Q3" s="2" t="s">
        <v>4</v>
      </c>
      <c r="R3" s="4"/>
      <c r="S3" s="4"/>
      <c r="T3" s="1" t="s">
        <v>5</v>
      </c>
      <c r="U3" s="1" t="s">
        <v>1</v>
      </c>
      <c r="V3" s="1" t="s">
        <v>2</v>
      </c>
      <c r="W3" s="1" t="s">
        <v>3</v>
      </c>
      <c r="X3" s="1">
        <v>32.82</v>
      </c>
      <c r="Y3" s="1">
        <v>17.53</v>
      </c>
      <c r="Z3" s="2" t="s">
        <v>4</v>
      </c>
      <c r="AA3" s="4"/>
      <c r="AB3" s="4"/>
    </row>
    <row r="4" spans="1:28" x14ac:dyDescent="0.25">
      <c r="A4" s="1" t="s">
        <v>6</v>
      </c>
      <c r="B4" s="1" t="s">
        <v>1</v>
      </c>
      <c r="C4" s="1" t="s">
        <v>2</v>
      </c>
      <c r="D4" s="1" t="s">
        <v>3</v>
      </c>
      <c r="E4" s="1">
        <v>65.010000000000005</v>
      </c>
      <c r="F4" s="1">
        <v>35.880000000000003</v>
      </c>
      <c r="G4" s="2" t="s">
        <v>4</v>
      </c>
      <c r="H4" s="4"/>
      <c r="I4" s="4"/>
      <c r="K4" s="1" t="s">
        <v>6</v>
      </c>
      <c r="L4" s="1" t="s">
        <v>1</v>
      </c>
      <c r="M4" s="1" t="s">
        <v>2</v>
      </c>
      <c r="N4" s="1" t="s">
        <v>3</v>
      </c>
      <c r="O4" s="1">
        <v>72.900000000000006</v>
      </c>
      <c r="P4" s="1">
        <v>43.55</v>
      </c>
      <c r="Q4" s="2" t="s">
        <v>4</v>
      </c>
      <c r="R4" s="4"/>
      <c r="S4" s="4"/>
      <c r="T4" s="1" t="s">
        <v>6</v>
      </c>
      <c r="U4" s="1" t="s">
        <v>1</v>
      </c>
      <c r="V4" s="1" t="s">
        <v>2</v>
      </c>
      <c r="W4" s="1" t="s">
        <v>3</v>
      </c>
      <c r="X4" s="1">
        <v>48.1</v>
      </c>
      <c r="Y4" s="1">
        <v>32.82</v>
      </c>
      <c r="Z4" s="2" t="s">
        <v>4</v>
      </c>
      <c r="AA4" s="4"/>
      <c r="AB4" s="4"/>
    </row>
    <row r="5" spans="1:28" x14ac:dyDescent="0.25">
      <c r="A5" s="1" t="s">
        <v>7</v>
      </c>
      <c r="B5" s="1" t="s">
        <v>1</v>
      </c>
      <c r="C5" s="1" t="s">
        <v>2</v>
      </c>
      <c r="D5" s="1" t="s">
        <v>3</v>
      </c>
      <c r="E5" s="1">
        <v>62.84</v>
      </c>
      <c r="F5" s="1">
        <v>33.71</v>
      </c>
      <c r="G5" s="2" t="s">
        <v>4</v>
      </c>
      <c r="H5" s="4"/>
      <c r="I5" s="4"/>
      <c r="K5" s="1" t="s">
        <v>7</v>
      </c>
      <c r="L5" s="1" t="s">
        <v>1</v>
      </c>
      <c r="M5" s="1" t="s">
        <v>2</v>
      </c>
      <c r="N5" s="1" t="s">
        <v>3</v>
      </c>
      <c r="O5" s="1">
        <v>70.72</v>
      </c>
      <c r="P5" s="1">
        <v>41.37</v>
      </c>
      <c r="Q5" s="2" t="s">
        <v>4</v>
      </c>
      <c r="R5" s="4"/>
      <c r="S5" s="4"/>
      <c r="T5" s="1" t="s">
        <v>7</v>
      </c>
      <c r="U5" s="1" t="s">
        <v>1</v>
      </c>
      <c r="V5" s="1" t="s">
        <v>2</v>
      </c>
      <c r="W5" s="1" t="s">
        <v>3</v>
      </c>
      <c r="X5" s="1">
        <v>63.38</v>
      </c>
      <c r="Y5" s="1">
        <v>48.1</v>
      </c>
      <c r="Z5" s="2" t="s">
        <v>4</v>
      </c>
      <c r="AA5" s="4"/>
      <c r="AB5" s="4"/>
    </row>
    <row r="6" spans="1:28" x14ac:dyDescent="0.25">
      <c r="A6" s="1" t="s">
        <v>8</v>
      </c>
      <c r="B6" s="1" t="s">
        <v>1</v>
      </c>
      <c r="C6" s="1" t="s">
        <v>2</v>
      </c>
      <c r="D6" s="1" t="s">
        <v>3</v>
      </c>
      <c r="E6" s="1">
        <v>95.29</v>
      </c>
      <c r="F6" s="1">
        <v>66.17</v>
      </c>
      <c r="G6" s="2" t="s">
        <v>4</v>
      </c>
      <c r="H6" s="4"/>
      <c r="I6" s="4"/>
      <c r="K6" s="1" t="s">
        <v>8</v>
      </c>
      <c r="L6" s="1" t="s">
        <v>1</v>
      </c>
      <c r="M6" s="1" t="s">
        <v>2</v>
      </c>
      <c r="N6" s="1" t="s">
        <v>3</v>
      </c>
      <c r="O6" s="1">
        <v>103.18</v>
      </c>
      <c r="P6" s="1">
        <v>72.900000000000006</v>
      </c>
      <c r="Q6" s="2" t="s">
        <v>4</v>
      </c>
      <c r="R6" s="4"/>
      <c r="S6" s="4"/>
      <c r="T6" s="1" t="s">
        <v>8</v>
      </c>
      <c r="U6" s="1" t="s">
        <v>1</v>
      </c>
      <c r="V6" s="1" t="s">
        <v>2</v>
      </c>
      <c r="W6" s="1" t="s">
        <v>3</v>
      </c>
      <c r="X6" s="1">
        <v>78.66</v>
      </c>
      <c r="Y6" s="1">
        <v>63.38</v>
      </c>
      <c r="Z6" s="2" t="s">
        <v>4</v>
      </c>
      <c r="AA6" s="4"/>
      <c r="AB6" s="4"/>
    </row>
    <row r="7" spans="1:28" x14ac:dyDescent="0.25">
      <c r="A7" s="1" t="s">
        <v>9</v>
      </c>
      <c r="B7" s="1" t="s">
        <v>1</v>
      </c>
      <c r="C7" s="1" t="s">
        <v>2</v>
      </c>
      <c r="D7" s="1" t="s">
        <v>3</v>
      </c>
      <c r="E7" s="1">
        <v>93.11</v>
      </c>
      <c r="F7" s="1">
        <v>63.99</v>
      </c>
      <c r="G7" s="2" t="s">
        <v>4</v>
      </c>
      <c r="H7" s="4"/>
      <c r="I7" s="4"/>
      <c r="K7" s="1" t="s">
        <v>9</v>
      </c>
      <c r="L7" s="1" t="s">
        <v>1</v>
      </c>
      <c r="M7" s="1" t="s">
        <v>2</v>
      </c>
      <c r="N7" s="1" t="s">
        <v>3</v>
      </c>
      <c r="O7" s="1">
        <v>101</v>
      </c>
      <c r="P7" s="1">
        <v>70.72</v>
      </c>
      <c r="Q7" s="2" t="s">
        <v>4</v>
      </c>
      <c r="R7" s="4"/>
      <c r="S7" s="4"/>
      <c r="T7" s="1" t="s">
        <v>9</v>
      </c>
      <c r="U7" s="1" t="s">
        <v>1</v>
      </c>
      <c r="V7" s="1" t="s">
        <v>2</v>
      </c>
      <c r="W7" s="1" t="s">
        <v>3</v>
      </c>
      <c r="X7" s="1">
        <v>93.94</v>
      </c>
      <c r="Y7" s="1">
        <v>78.66</v>
      </c>
      <c r="Z7" s="2" t="s">
        <v>4</v>
      </c>
      <c r="AA7" s="4"/>
      <c r="AB7" s="4"/>
    </row>
    <row r="8" spans="1:28" x14ac:dyDescent="0.25">
      <c r="A8" s="1" t="s">
        <v>10</v>
      </c>
      <c r="B8" s="1" t="s">
        <v>1</v>
      </c>
      <c r="C8" s="1" t="s">
        <v>2</v>
      </c>
      <c r="D8" s="1" t="s">
        <v>3</v>
      </c>
      <c r="E8" s="1">
        <v>125.57</v>
      </c>
      <c r="F8" s="1">
        <v>96.44</v>
      </c>
      <c r="G8" s="2" t="s">
        <v>4</v>
      </c>
      <c r="H8" s="4"/>
      <c r="I8" s="4"/>
      <c r="K8" s="1" t="s">
        <v>10</v>
      </c>
      <c r="L8" s="1" t="s">
        <v>1</v>
      </c>
      <c r="M8" s="1" t="s">
        <v>2</v>
      </c>
      <c r="N8" s="1" t="s">
        <v>3</v>
      </c>
      <c r="O8" s="1">
        <v>134.4</v>
      </c>
      <c r="P8" s="1">
        <v>103.18</v>
      </c>
      <c r="Q8" s="2" t="s">
        <v>4</v>
      </c>
      <c r="R8" s="4"/>
      <c r="S8" s="4"/>
      <c r="T8" s="1" t="s">
        <v>10</v>
      </c>
      <c r="U8" s="1" t="s">
        <v>1</v>
      </c>
      <c r="V8" s="1" t="s">
        <v>2</v>
      </c>
      <c r="W8" s="1" t="s">
        <v>3</v>
      </c>
      <c r="X8" s="1">
        <v>109.22</v>
      </c>
      <c r="Y8" s="1">
        <v>93.94</v>
      </c>
      <c r="Z8" s="2" t="s">
        <v>4</v>
      </c>
      <c r="AA8" s="4"/>
      <c r="AB8" s="4"/>
    </row>
    <row r="9" spans="1:28" x14ac:dyDescent="0.25">
      <c r="A9" s="1" t="s">
        <v>11</v>
      </c>
      <c r="B9" s="1" t="s">
        <v>1</v>
      </c>
      <c r="C9" s="1" t="s">
        <v>2</v>
      </c>
      <c r="D9" s="1" t="s">
        <v>3</v>
      </c>
      <c r="E9" s="1">
        <v>123.4</v>
      </c>
      <c r="F9" s="1">
        <v>94.27</v>
      </c>
      <c r="G9" s="2" t="s">
        <v>4</v>
      </c>
      <c r="H9" s="4"/>
      <c r="I9" s="4"/>
      <c r="K9" s="1" t="s">
        <v>11</v>
      </c>
      <c r="L9" s="1" t="s">
        <v>1</v>
      </c>
      <c r="M9" s="1" t="s">
        <v>2</v>
      </c>
      <c r="N9" s="1" t="s">
        <v>3</v>
      </c>
      <c r="O9" s="1">
        <v>132.22</v>
      </c>
      <c r="P9" s="1">
        <v>101</v>
      </c>
      <c r="Q9" s="2" t="s">
        <v>4</v>
      </c>
      <c r="R9" s="4"/>
      <c r="S9" s="4"/>
      <c r="T9" s="1" t="s">
        <v>11</v>
      </c>
      <c r="U9" s="1" t="s">
        <v>1</v>
      </c>
      <c r="V9" s="1" t="s">
        <v>2</v>
      </c>
      <c r="W9" s="1" t="s">
        <v>3</v>
      </c>
      <c r="X9" s="1">
        <v>124.5</v>
      </c>
      <c r="Y9" s="1">
        <v>109.22</v>
      </c>
      <c r="Z9" s="2" t="s">
        <v>4</v>
      </c>
      <c r="AA9" s="4"/>
      <c r="AB9" s="4"/>
    </row>
    <row r="10" spans="1:28" x14ac:dyDescent="0.25">
      <c r="A10" s="1" t="s">
        <v>12</v>
      </c>
      <c r="B10" s="1" t="s">
        <v>1</v>
      </c>
      <c r="C10" s="1" t="s">
        <v>2</v>
      </c>
      <c r="D10" s="1" t="s">
        <v>3</v>
      </c>
      <c r="E10" s="1">
        <v>155.86000000000001</v>
      </c>
      <c r="F10" s="1">
        <v>126.73</v>
      </c>
      <c r="G10" s="2" t="s">
        <v>4</v>
      </c>
      <c r="H10" s="4"/>
      <c r="I10" s="4"/>
      <c r="K10" s="1" t="s">
        <v>12</v>
      </c>
      <c r="L10" s="1" t="s">
        <v>1</v>
      </c>
      <c r="M10" s="1" t="s">
        <v>2</v>
      </c>
      <c r="N10" s="1" t="s">
        <v>3</v>
      </c>
      <c r="O10" s="1">
        <v>164.68</v>
      </c>
      <c r="P10" s="1">
        <v>134.4</v>
      </c>
      <c r="Q10" s="2" t="s">
        <v>4</v>
      </c>
      <c r="R10" s="4"/>
      <c r="S10" s="4"/>
      <c r="T10" s="1" t="s">
        <v>12</v>
      </c>
      <c r="U10" s="1" t="s">
        <v>1</v>
      </c>
      <c r="V10" s="1" t="s">
        <v>2</v>
      </c>
      <c r="W10" s="1" t="s">
        <v>3</v>
      </c>
      <c r="X10" s="1">
        <v>139.79</v>
      </c>
      <c r="Y10" s="1">
        <v>124.5</v>
      </c>
      <c r="Z10" s="2" t="s">
        <v>4</v>
      </c>
      <c r="AA10" s="4"/>
      <c r="AB10" s="4"/>
    </row>
    <row r="11" spans="1:28" x14ac:dyDescent="0.25">
      <c r="A11" s="1" t="s">
        <v>13</v>
      </c>
      <c r="B11" s="1" t="s">
        <v>1</v>
      </c>
      <c r="C11" s="1" t="s">
        <v>2</v>
      </c>
      <c r="D11" s="1" t="s">
        <v>3</v>
      </c>
      <c r="E11" s="1">
        <v>153.69</v>
      </c>
      <c r="F11" s="1">
        <v>124.55</v>
      </c>
      <c r="G11" s="2" t="s">
        <v>4</v>
      </c>
      <c r="H11" s="4"/>
      <c r="I11" s="4"/>
      <c r="K11" s="1" t="s">
        <v>13</v>
      </c>
      <c r="L11" s="1" t="s">
        <v>1</v>
      </c>
      <c r="M11" s="1" t="s">
        <v>2</v>
      </c>
      <c r="N11" s="1" t="s">
        <v>3</v>
      </c>
      <c r="O11" s="1">
        <v>162.51</v>
      </c>
      <c r="P11" s="1">
        <v>132.22</v>
      </c>
      <c r="Q11" s="2" t="s">
        <v>4</v>
      </c>
      <c r="R11" s="4"/>
      <c r="S11" s="4"/>
      <c r="T11" s="1" t="s">
        <v>13</v>
      </c>
      <c r="U11" s="1" t="s">
        <v>1</v>
      </c>
      <c r="V11" s="1" t="s">
        <v>2</v>
      </c>
      <c r="W11" s="1" t="s">
        <v>3</v>
      </c>
      <c r="X11" s="1">
        <v>155.07</v>
      </c>
      <c r="Y11" s="1">
        <v>139.79</v>
      </c>
      <c r="Z11" s="2" t="s">
        <v>4</v>
      </c>
      <c r="AA11" s="4"/>
      <c r="AB11" s="4"/>
    </row>
    <row r="12" spans="1:28" x14ac:dyDescent="0.25">
      <c r="A12" s="1" t="s">
        <v>14</v>
      </c>
      <c r="B12" s="1" t="s">
        <v>1</v>
      </c>
      <c r="C12" s="1" t="s">
        <v>2</v>
      </c>
      <c r="D12" s="1" t="s">
        <v>3</v>
      </c>
      <c r="E12" s="1">
        <v>157.02000000000001</v>
      </c>
      <c r="F12" s="1">
        <v>157.02000000000001</v>
      </c>
      <c r="G12" s="2" t="s">
        <v>4</v>
      </c>
      <c r="H12" s="4"/>
      <c r="I12" s="4"/>
      <c r="K12" s="1" t="s">
        <v>14</v>
      </c>
      <c r="L12" s="1" t="s">
        <v>1</v>
      </c>
      <c r="M12" s="1" t="s">
        <v>2</v>
      </c>
      <c r="N12" s="1" t="s">
        <v>3</v>
      </c>
      <c r="O12" s="1">
        <v>253.66</v>
      </c>
      <c r="P12" s="1">
        <v>164.68</v>
      </c>
      <c r="Q12" s="2" t="s">
        <v>4</v>
      </c>
      <c r="R12" s="4"/>
      <c r="S12" s="4"/>
      <c r="T12" s="1" t="s">
        <v>14</v>
      </c>
      <c r="U12" s="1" t="s">
        <v>1</v>
      </c>
      <c r="V12" s="1" t="s">
        <v>2</v>
      </c>
      <c r="W12" s="1" t="s">
        <v>3</v>
      </c>
      <c r="X12" s="1">
        <v>170.36</v>
      </c>
      <c r="Y12" s="1">
        <v>155.07</v>
      </c>
      <c r="Z12" s="2" t="s">
        <v>4</v>
      </c>
      <c r="AA12" s="4"/>
      <c r="AB12" s="4"/>
    </row>
    <row r="13" spans="1:28" x14ac:dyDescent="0.25">
      <c r="A13" s="1" t="s">
        <v>15</v>
      </c>
      <c r="B13" s="1" t="s">
        <v>1</v>
      </c>
      <c r="C13" s="1" t="s">
        <v>2</v>
      </c>
      <c r="D13" s="1" t="s">
        <v>3</v>
      </c>
      <c r="E13" s="1">
        <v>154.84</v>
      </c>
      <c r="F13" s="1">
        <v>154.84</v>
      </c>
      <c r="G13" s="2" t="s">
        <v>4</v>
      </c>
      <c r="H13" s="4"/>
      <c r="I13" s="4"/>
      <c r="K13" s="1" t="s">
        <v>15</v>
      </c>
      <c r="L13" s="1" t="s">
        <v>1</v>
      </c>
      <c r="M13" s="1" t="s">
        <v>2</v>
      </c>
      <c r="N13" s="1" t="s">
        <v>3</v>
      </c>
      <c r="O13" s="1">
        <v>251.48</v>
      </c>
      <c r="P13" s="1">
        <v>162.51</v>
      </c>
      <c r="Q13" s="2" t="s">
        <v>4</v>
      </c>
      <c r="R13" s="4"/>
      <c r="S13" s="4"/>
      <c r="T13" s="1" t="s">
        <v>15</v>
      </c>
      <c r="U13" s="1" t="s">
        <v>1</v>
      </c>
      <c r="V13" s="1" t="s">
        <v>2</v>
      </c>
      <c r="W13" s="1" t="s">
        <v>3</v>
      </c>
      <c r="X13" s="1">
        <v>170.36</v>
      </c>
      <c r="Y13" s="1">
        <v>170.36</v>
      </c>
      <c r="Z13" s="2" t="s">
        <v>4</v>
      </c>
      <c r="AA13" s="4"/>
      <c r="AB13" s="4"/>
    </row>
    <row r="14" spans="1:28" x14ac:dyDescent="0.25">
      <c r="A14" s="1" t="s">
        <v>16</v>
      </c>
      <c r="B14" s="1" t="s">
        <v>1</v>
      </c>
      <c r="C14" s="1" t="s">
        <v>2</v>
      </c>
      <c r="D14" s="1" t="s">
        <v>3</v>
      </c>
      <c r="E14" s="1">
        <v>43.56</v>
      </c>
      <c r="F14" s="1">
        <v>14.41</v>
      </c>
      <c r="G14" s="2" t="s">
        <v>4</v>
      </c>
      <c r="H14" s="4"/>
      <c r="I14" s="4"/>
      <c r="K14" s="1" t="s">
        <v>16</v>
      </c>
      <c r="L14" s="1" t="s">
        <v>1</v>
      </c>
      <c r="M14" s="1" t="s">
        <v>2</v>
      </c>
      <c r="N14" s="1" t="s">
        <v>3</v>
      </c>
      <c r="O14" s="1">
        <v>34.71</v>
      </c>
      <c r="P14" s="1">
        <v>4.43</v>
      </c>
      <c r="Q14" s="2" t="s">
        <v>4</v>
      </c>
      <c r="R14" s="4"/>
      <c r="S14" s="4"/>
      <c r="T14" s="1" t="s">
        <v>16</v>
      </c>
      <c r="U14" s="1" t="s">
        <v>1</v>
      </c>
      <c r="V14" s="1" t="s">
        <v>2</v>
      </c>
      <c r="W14" s="1" t="s">
        <v>3</v>
      </c>
      <c r="X14" s="1">
        <v>26.36</v>
      </c>
      <c r="Y14" s="1">
        <v>11.1</v>
      </c>
      <c r="Z14" s="2" t="s">
        <v>4</v>
      </c>
      <c r="AA14" s="4"/>
      <c r="AB14" s="4"/>
    </row>
    <row r="15" spans="1:28" x14ac:dyDescent="0.25">
      <c r="A15" s="1" t="s">
        <v>17</v>
      </c>
      <c r="B15" s="1" t="s">
        <v>1</v>
      </c>
      <c r="C15" s="1" t="s">
        <v>2</v>
      </c>
      <c r="D15" s="1" t="s">
        <v>3</v>
      </c>
      <c r="E15" s="1">
        <v>41.39</v>
      </c>
      <c r="F15" s="1">
        <v>12.24</v>
      </c>
      <c r="G15" s="2" t="s">
        <v>4</v>
      </c>
      <c r="H15" s="4"/>
      <c r="I15" s="4"/>
      <c r="K15" s="1" t="s">
        <v>17</v>
      </c>
      <c r="L15" s="1" t="s">
        <v>1</v>
      </c>
      <c r="M15" s="1" t="s">
        <v>2</v>
      </c>
      <c r="N15" s="1" t="s">
        <v>3</v>
      </c>
      <c r="O15" s="1">
        <v>32.54</v>
      </c>
      <c r="P15" s="1">
        <v>2.25</v>
      </c>
      <c r="Q15" s="2" t="s">
        <v>4</v>
      </c>
      <c r="R15" s="4"/>
      <c r="S15" s="4"/>
      <c r="T15" s="1" t="s">
        <v>17</v>
      </c>
      <c r="U15" s="1" t="s">
        <v>1</v>
      </c>
      <c r="V15" s="1" t="s">
        <v>2</v>
      </c>
      <c r="W15" s="1" t="s">
        <v>3</v>
      </c>
      <c r="X15" s="1">
        <v>41.65</v>
      </c>
      <c r="Y15" s="1">
        <v>26.36</v>
      </c>
      <c r="Z15" s="2" t="s">
        <v>4</v>
      </c>
      <c r="AA15" s="4"/>
      <c r="AB15" s="4"/>
    </row>
    <row r="16" spans="1:28" x14ac:dyDescent="0.25">
      <c r="A16" s="1" t="s">
        <v>18</v>
      </c>
      <c r="B16" s="1" t="s">
        <v>1</v>
      </c>
      <c r="C16" s="1" t="s">
        <v>2</v>
      </c>
      <c r="D16" s="1" t="s">
        <v>3</v>
      </c>
      <c r="E16" s="1">
        <v>73.849999999999994</v>
      </c>
      <c r="F16" s="1">
        <v>44.72</v>
      </c>
      <c r="G16" s="2" t="s">
        <v>4</v>
      </c>
      <c r="H16" s="4"/>
      <c r="I16" s="4"/>
      <c r="K16" s="1" t="s">
        <v>18</v>
      </c>
      <c r="L16" s="1" t="s">
        <v>1</v>
      </c>
      <c r="M16" s="1" t="s">
        <v>2</v>
      </c>
      <c r="N16" s="1" t="s">
        <v>3</v>
      </c>
      <c r="O16" s="1">
        <v>65</v>
      </c>
      <c r="P16" s="1">
        <v>34.71</v>
      </c>
      <c r="Q16" s="2" t="s">
        <v>4</v>
      </c>
      <c r="R16" s="4"/>
      <c r="S16" s="4"/>
      <c r="T16" s="1" t="s">
        <v>18</v>
      </c>
      <c r="U16" s="1" t="s">
        <v>1</v>
      </c>
      <c r="V16" s="1" t="s">
        <v>2</v>
      </c>
      <c r="W16" s="1" t="s">
        <v>3</v>
      </c>
      <c r="X16" s="1">
        <v>56.94</v>
      </c>
      <c r="Y16" s="1">
        <v>41.65</v>
      </c>
      <c r="Z16" s="2" t="s">
        <v>4</v>
      </c>
      <c r="AA16" s="4"/>
      <c r="AB16" s="4"/>
    </row>
    <row r="17" spans="1:28" x14ac:dyDescent="0.25">
      <c r="A17" s="1" t="s">
        <v>19</v>
      </c>
      <c r="B17" s="1" t="s">
        <v>1</v>
      </c>
      <c r="C17" s="1" t="s">
        <v>2</v>
      </c>
      <c r="D17" s="1" t="s">
        <v>3</v>
      </c>
      <c r="E17" s="1">
        <v>71.67</v>
      </c>
      <c r="F17" s="1">
        <v>42.54</v>
      </c>
      <c r="G17" s="2" t="s">
        <v>4</v>
      </c>
      <c r="H17" s="4"/>
      <c r="I17" s="4"/>
      <c r="K17" s="1" t="s">
        <v>19</v>
      </c>
      <c r="L17" s="1" t="s">
        <v>1</v>
      </c>
      <c r="M17" s="1" t="s">
        <v>2</v>
      </c>
      <c r="N17" s="1" t="s">
        <v>3</v>
      </c>
      <c r="O17" s="1">
        <v>62.82</v>
      </c>
      <c r="P17" s="1">
        <v>32.54</v>
      </c>
      <c r="Q17" s="2" t="s">
        <v>4</v>
      </c>
      <c r="R17" s="4"/>
      <c r="S17" s="4"/>
      <c r="T17" s="1" t="s">
        <v>19</v>
      </c>
      <c r="U17" s="1" t="s">
        <v>1</v>
      </c>
      <c r="V17" s="1" t="s">
        <v>2</v>
      </c>
      <c r="W17" s="1" t="s">
        <v>3</v>
      </c>
      <c r="X17" s="1">
        <v>72.22</v>
      </c>
      <c r="Y17" s="1">
        <v>56.94</v>
      </c>
      <c r="Z17" s="2" t="s">
        <v>4</v>
      </c>
      <c r="AA17" s="4"/>
      <c r="AB17" s="4"/>
    </row>
    <row r="18" spans="1:28" x14ac:dyDescent="0.25">
      <c r="A18" s="1" t="s">
        <v>20</v>
      </c>
      <c r="B18" s="1" t="s">
        <v>1</v>
      </c>
      <c r="C18" s="1" t="s">
        <v>2</v>
      </c>
      <c r="D18" s="1" t="s">
        <v>3</v>
      </c>
      <c r="E18" s="1">
        <v>104.13</v>
      </c>
      <c r="F18" s="1">
        <v>75</v>
      </c>
      <c r="G18" s="2" t="s">
        <v>4</v>
      </c>
      <c r="H18" s="4"/>
      <c r="I18" s="4"/>
      <c r="K18" s="1" t="s">
        <v>20</v>
      </c>
      <c r="L18" s="1" t="s">
        <v>1</v>
      </c>
      <c r="M18" s="1" t="s">
        <v>2</v>
      </c>
      <c r="N18" s="1" t="s">
        <v>3</v>
      </c>
      <c r="O18" s="1">
        <v>95.28</v>
      </c>
      <c r="P18" s="1">
        <v>65</v>
      </c>
      <c r="Q18" s="2" t="s">
        <v>4</v>
      </c>
      <c r="R18" s="4"/>
      <c r="S18" s="4"/>
      <c r="T18" s="1" t="s">
        <v>20</v>
      </c>
      <c r="U18" s="1" t="s">
        <v>1</v>
      </c>
      <c r="V18" s="1" t="s">
        <v>2</v>
      </c>
      <c r="W18" s="1" t="s">
        <v>3</v>
      </c>
      <c r="X18" s="1">
        <v>87.5</v>
      </c>
      <c r="Y18" s="1">
        <v>72.22</v>
      </c>
      <c r="Z18" s="2" t="s">
        <v>4</v>
      </c>
      <c r="AA18" s="4"/>
      <c r="AB18" s="4"/>
    </row>
    <row r="19" spans="1:28" x14ac:dyDescent="0.25">
      <c r="A19" s="1" t="s">
        <v>21</v>
      </c>
      <c r="B19" s="1" t="s">
        <v>1</v>
      </c>
      <c r="C19" s="1" t="s">
        <v>2</v>
      </c>
      <c r="D19" s="1" t="s">
        <v>3</v>
      </c>
      <c r="E19" s="1">
        <v>101.95</v>
      </c>
      <c r="F19" s="1">
        <v>72.83</v>
      </c>
      <c r="G19" s="2" t="s">
        <v>4</v>
      </c>
      <c r="H19" s="4"/>
      <c r="I19" s="4"/>
      <c r="K19" s="1" t="s">
        <v>21</v>
      </c>
      <c r="L19" s="1" t="s">
        <v>1</v>
      </c>
      <c r="M19" s="1" t="s">
        <v>2</v>
      </c>
      <c r="N19" s="1" t="s">
        <v>3</v>
      </c>
      <c r="O19" s="1">
        <v>93.1</v>
      </c>
      <c r="P19" s="1">
        <v>62.82</v>
      </c>
      <c r="Q19" s="2" t="s">
        <v>4</v>
      </c>
      <c r="R19" s="4"/>
      <c r="S19" s="4"/>
      <c r="T19" s="1" t="s">
        <v>21</v>
      </c>
      <c r="U19" s="1" t="s">
        <v>1</v>
      </c>
      <c r="V19" s="1" t="s">
        <v>2</v>
      </c>
      <c r="W19" s="1" t="s">
        <v>3</v>
      </c>
      <c r="X19" s="1">
        <v>102.78</v>
      </c>
      <c r="Y19" s="1">
        <v>87.5</v>
      </c>
      <c r="Z19" s="2" t="s">
        <v>4</v>
      </c>
      <c r="AA19" s="4"/>
      <c r="AB19" s="4"/>
    </row>
    <row r="20" spans="1:28" x14ac:dyDescent="0.25">
      <c r="A20" s="1" t="s">
        <v>22</v>
      </c>
      <c r="B20" s="1" t="s">
        <v>1</v>
      </c>
      <c r="C20" s="1" t="s">
        <v>2</v>
      </c>
      <c r="D20" s="1" t="s">
        <v>3</v>
      </c>
      <c r="E20" s="1">
        <v>134.41</v>
      </c>
      <c r="F20" s="1">
        <v>105.28</v>
      </c>
      <c r="G20" s="2" t="s">
        <v>4</v>
      </c>
      <c r="H20" s="4"/>
      <c r="I20" s="4"/>
      <c r="K20" s="1" t="s">
        <v>22</v>
      </c>
      <c r="L20" s="1" t="s">
        <v>1</v>
      </c>
      <c r="M20" s="1" t="s">
        <v>2</v>
      </c>
      <c r="N20" s="1" t="s">
        <v>3</v>
      </c>
      <c r="O20" s="1">
        <v>125.56</v>
      </c>
      <c r="P20" s="1">
        <v>95.28</v>
      </c>
      <c r="Q20" s="2" t="s">
        <v>4</v>
      </c>
      <c r="R20" s="4"/>
      <c r="S20" s="4"/>
      <c r="T20" s="1" t="s">
        <v>22</v>
      </c>
      <c r="U20" s="1" t="s">
        <v>1</v>
      </c>
      <c r="V20" s="1" t="s">
        <v>2</v>
      </c>
      <c r="W20" s="1" t="s">
        <v>3</v>
      </c>
      <c r="X20" s="1">
        <v>118.06</v>
      </c>
      <c r="Y20" s="1">
        <v>102.78</v>
      </c>
      <c r="Z20" s="2" t="s">
        <v>4</v>
      </c>
      <c r="AA20" s="4"/>
      <c r="AB20" s="4"/>
    </row>
    <row r="21" spans="1:28" x14ac:dyDescent="0.25">
      <c r="A21" s="1" t="s">
        <v>23</v>
      </c>
      <c r="B21" s="1" t="s">
        <v>1</v>
      </c>
      <c r="C21" s="1" t="s">
        <v>2</v>
      </c>
      <c r="D21" s="1" t="s">
        <v>3</v>
      </c>
      <c r="E21" s="1">
        <v>132.22999999999999</v>
      </c>
      <c r="F21" s="1">
        <v>103.1</v>
      </c>
      <c r="G21" s="2" t="s">
        <v>4</v>
      </c>
      <c r="H21" s="4"/>
      <c r="I21" s="4"/>
      <c r="K21" s="1" t="s">
        <v>23</v>
      </c>
      <c r="L21" s="1" t="s">
        <v>1</v>
      </c>
      <c r="M21" s="1" t="s">
        <v>2</v>
      </c>
      <c r="N21" s="1" t="s">
        <v>3</v>
      </c>
      <c r="O21" s="1">
        <v>123.39</v>
      </c>
      <c r="P21" s="1">
        <v>93.1</v>
      </c>
      <c r="Q21" s="2" t="s">
        <v>4</v>
      </c>
      <c r="R21" s="4"/>
      <c r="S21" s="4"/>
      <c r="T21" s="1" t="s">
        <v>23</v>
      </c>
      <c r="U21" s="1" t="s">
        <v>1</v>
      </c>
      <c r="V21" s="1" t="s">
        <v>2</v>
      </c>
      <c r="W21" s="1" t="s">
        <v>3</v>
      </c>
      <c r="X21" s="1">
        <v>133.34</v>
      </c>
      <c r="Y21" s="1">
        <v>118.06</v>
      </c>
      <c r="Z21" s="2" t="s">
        <v>4</v>
      </c>
      <c r="AA21" s="4"/>
      <c r="AB21" s="4"/>
    </row>
    <row r="22" spans="1:28" x14ac:dyDescent="0.25">
      <c r="A22" s="1" t="s">
        <v>24</v>
      </c>
      <c r="B22" s="1" t="s">
        <v>1</v>
      </c>
      <c r="C22" s="1" t="s">
        <v>2</v>
      </c>
      <c r="D22" s="1" t="s">
        <v>3</v>
      </c>
      <c r="E22" s="1">
        <v>164.7</v>
      </c>
      <c r="F22" s="1">
        <v>135.56</v>
      </c>
      <c r="G22" s="2" t="s">
        <v>4</v>
      </c>
      <c r="H22" s="4"/>
      <c r="I22" s="4"/>
      <c r="K22" s="1" t="s">
        <v>24</v>
      </c>
      <c r="L22" s="1" t="s">
        <v>1</v>
      </c>
      <c r="M22" s="1" t="s">
        <v>2</v>
      </c>
      <c r="N22" s="1" t="s">
        <v>3</v>
      </c>
      <c r="O22" s="1">
        <v>155.85</v>
      </c>
      <c r="P22" s="1">
        <v>125.56</v>
      </c>
      <c r="Q22" s="2" t="s">
        <v>4</v>
      </c>
      <c r="R22" s="4"/>
      <c r="S22" s="4"/>
      <c r="T22" s="1" t="s">
        <v>24</v>
      </c>
      <c r="U22" s="1" t="s">
        <v>1</v>
      </c>
      <c r="V22" s="1" t="s">
        <v>2</v>
      </c>
      <c r="W22" s="1" t="s">
        <v>3</v>
      </c>
      <c r="X22" s="1">
        <v>148.62</v>
      </c>
      <c r="Y22" s="1">
        <v>133.34</v>
      </c>
      <c r="Z22" s="2" t="s">
        <v>4</v>
      </c>
      <c r="AA22" s="4"/>
      <c r="AB22" s="4"/>
    </row>
    <row r="23" spans="1:28" x14ac:dyDescent="0.25">
      <c r="A23" s="1" t="s">
        <v>25</v>
      </c>
      <c r="B23" s="1" t="s">
        <v>1</v>
      </c>
      <c r="C23" s="1" t="s">
        <v>2</v>
      </c>
      <c r="D23" s="1" t="s">
        <v>3</v>
      </c>
      <c r="E23" s="1">
        <v>162.52000000000001</v>
      </c>
      <c r="F23" s="1">
        <v>133.38</v>
      </c>
      <c r="G23" s="2" t="s">
        <v>4</v>
      </c>
      <c r="H23" s="4"/>
      <c r="I23" s="4"/>
      <c r="K23" s="1" t="s">
        <v>25</v>
      </c>
      <c r="L23" s="1" t="s">
        <v>1</v>
      </c>
      <c r="M23" s="1" t="s">
        <v>2</v>
      </c>
      <c r="N23" s="1" t="s">
        <v>3</v>
      </c>
      <c r="O23" s="1">
        <v>153.66999999999999</v>
      </c>
      <c r="P23" s="1">
        <v>123.39</v>
      </c>
      <c r="Q23" s="2" t="s">
        <v>4</v>
      </c>
      <c r="R23" s="4"/>
      <c r="S23" s="4"/>
      <c r="T23" s="1" t="s">
        <v>25</v>
      </c>
      <c r="U23" s="1" t="s">
        <v>1</v>
      </c>
      <c r="V23" s="1" t="s">
        <v>2</v>
      </c>
      <c r="W23" s="1" t="s">
        <v>3</v>
      </c>
      <c r="X23" s="1">
        <v>163.91</v>
      </c>
      <c r="Y23" s="1">
        <v>148.62</v>
      </c>
      <c r="Z23" s="2" t="s">
        <v>4</v>
      </c>
      <c r="AA23" s="4"/>
      <c r="AB23" s="4"/>
    </row>
    <row r="24" spans="1:28" x14ac:dyDescent="0.25">
      <c r="A24" s="1" t="s">
        <v>26</v>
      </c>
      <c r="B24" s="1" t="s">
        <v>1</v>
      </c>
      <c r="C24" s="1" t="s">
        <v>2</v>
      </c>
      <c r="D24" s="1" t="s">
        <v>3</v>
      </c>
      <c r="E24" s="1">
        <v>165.85</v>
      </c>
      <c r="F24" s="1">
        <v>165.85</v>
      </c>
      <c r="G24" s="2" t="s">
        <v>4</v>
      </c>
      <c r="H24" s="4"/>
      <c r="I24" s="4"/>
      <c r="K24" s="1" t="s">
        <v>26</v>
      </c>
      <c r="L24" s="1" t="s">
        <v>1</v>
      </c>
      <c r="M24" s="1" t="s">
        <v>2</v>
      </c>
      <c r="N24" s="1" t="s">
        <v>3</v>
      </c>
      <c r="O24" s="1">
        <v>185.32</v>
      </c>
      <c r="P24" s="1">
        <f>O24-J47</f>
        <v>155.03</v>
      </c>
      <c r="Q24" s="2" t="s">
        <v>4</v>
      </c>
      <c r="R24" s="4"/>
      <c r="S24" s="4"/>
      <c r="T24" s="1" t="s">
        <v>26</v>
      </c>
      <c r="U24" s="1" t="s">
        <v>1</v>
      </c>
      <c r="V24" s="1" t="s">
        <v>2</v>
      </c>
      <c r="W24" s="1" t="s">
        <v>3</v>
      </c>
      <c r="X24" s="1">
        <f>X23+J72</f>
        <v>179.2</v>
      </c>
      <c r="Y24" s="1">
        <f>X24-J65</f>
        <v>163.92</v>
      </c>
      <c r="Z24" s="2" t="s">
        <v>4</v>
      </c>
      <c r="AA24" s="4"/>
      <c r="AB24" s="4"/>
    </row>
    <row r="25" spans="1:28" x14ac:dyDescent="0.25">
      <c r="A25" s="1" t="s">
        <v>27</v>
      </c>
      <c r="B25" s="1" t="s">
        <v>1</v>
      </c>
      <c r="C25" s="1" t="s">
        <v>2</v>
      </c>
      <c r="D25" s="1" t="s">
        <v>3</v>
      </c>
      <c r="E25" s="1">
        <v>163.66999999999999</v>
      </c>
      <c r="F25" s="1">
        <v>163.66999999999999</v>
      </c>
      <c r="G25" s="2" t="s">
        <v>4</v>
      </c>
      <c r="H25" s="4"/>
      <c r="I25" s="4"/>
      <c r="K25" s="1" t="s">
        <v>27</v>
      </c>
      <c r="L25" s="1" t="s">
        <v>1</v>
      </c>
      <c r="M25" s="1" t="s">
        <v>2</v>
      </c>
      <c r="N25" s="1" t="s">
        <v>3</v>
      </c>
      <c r="O25" s="1">
        <v>191.86</v>
      </c>
      <c r="P25" s="1">
        <f>O25-J47</f>
        <v>161.57000000000002</v>
      </c>
      <c r="Q25" s="2" t="s">
        <v>4</v>
      </c>
      <c r="R25" s="4"/>
      <c r="S25" s="4"/>
      <c r="T25" s="1" t="s">
        <v>27</v>
      </c>
      <c r="U25" s="1" t="s">
        <v>1</v>
      </c>
      <c r="V25" s="1" t="s">
        <v>2</v>
      </c>
      <c r="W25" s="1" t="s">
        <v>3</v>
      </c>
      <c r="X25" s="1">
        <v>181.37</v>
      </c>
      <c r="Y25" s="1">
        <f>X25-J65</f>
        <v>166.09</v>
      </c>
      <c r="Z25" s="2" t="s">
        <v>4</v>
      </c>
      <c r="AA25" s="4"/>
      <c r="AB25" s="4"/>
    </row>
    <row r="47" spans="10:10" x14ac:dyDescent="0.25">
      <c r="J47">
        <f>O22-P22</f>
        <v>30.289999999999992</v>
      </c>
    </row>
    <row r="65" spans="10:10" x14ac:dyDescent="0.25">
      <c r="J65">
        <f>X21-Y21</f>
        <v>15.280000000000001</v>
      </c>
    </row>
    <row r="72" spans="10:10" x14ac:dyDescent="0.25">
      <c r="J72">
        <f>X23-X22</f>
        <v>15.289999999999992</v>
      </c>
    </row>
  </sheetData>
  <mergeCells count="6">
    <mergeCell ref="H2:I25"/>
    <mergeCell ref="R2:S25"/>
    <mergeCell ref="AA2:AB25"/>
    <mergeCell ref="H1:I1"/>
    <mergeCell ref="R1:S1"/>
    <mergeCell ref="AA1:A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2026-01-21T19:48:58Z</dcterms:created>
  <dcterms:modified xsi:type="dcterms:W3CDTF">2026-01-22T15:05:20Z</dcterms:modified>
</cp:coreProperties>
</file>